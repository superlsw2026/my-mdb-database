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子分公司发货退货对账单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<sst xmlns="http://schemas.openxmlformats.org/spreadsheetml/2006/main" count="162" uniqueCount="59">
  <si>
    <t>子分公司发货退货对账单导出</t>
  </si>
  <si>
    <t/>
  </si>
  <si>
    <t>一级客户名称</t>
  </si>
  <si>
    <t>客户名称</t>
  </si>
  <si>
    <t>客户全称</t>
  </si>
  <si>
    <t>学校编码</t>
  </si>
  <si>
    <t>学校SAP编码</t>
  </si>
  <si>
    <t>年级</t>
  </si>
  <si>
    <t>代码</t>
  </si>
  <si>
    <t>产品名称</t>
  </si>
  <si>
    <t>版别</t>
  </si>
  <si>
    <t>是否免费</t>
  </si>
  <si>
    <t>单价</t>
  </si>
  <si>
    <t>税率</t>
  </si>
  <si>
    <t>图书类型</t>
  </si>
  <si>
    <t>分类</t>
  </si>
  <si>
    <t>发货数量</t>
  </si>
  <si>
    <t>发货码洋</t>
  </si>
  <si>
    <t>发货实洋</t>
  </si>
  <si>
    <t>发货成本</t>
  </si>
  <si>
    <t>退货数</t>
  </si>
  <si>
    <t>退货码洋</t>
  </si>
  <si>
    <t>退货实洋</t>
  </si>
  <si>
    <t>收订数</t>
  </si>
  <si>
    <t>收订码洋</t>
  </si>
  <si>
    <t>收订实洋</t>
  </si>
  <si>
    <t>退货成本</t>
  </si>
  <si>
    <t>实际发货数量</t>
  </si>
  <si>
    <t>实际发货码洋</t>
  </si>
  <si>
    <t>实际发货实洋</t>
  </si>
  <si>
    <t>实际发货成本</t>
  </si>
  <si>
    <t>市区</t>
  </si>
  <si>
    <t>揭阳第一中学</t>
  </si>
  <si>
    <t>27300014010607</t>
  </si>
  <si>
    <t>0014010607</t>
  </si>
  <si>
    <t>高一</t>
  </si>
  <si>
    <t>B7011</t>
  </si>
  <si>
    <t>金版学案 高中同步辅导与检测 语文 必修下册人教版</t>
  </si>
  <si>
    <t>广东高教</t>
  </si>
  <si>
    <t>否</t>
  </si>
  <si>
    <t>图9</t>
  </si>
  <si>
    <t>教辅</t>
  </si>
  <si>
    <t>拓展教辅</t>
  </si>
  <si>
    <t>高二</t>
  </si>
  <si>
    <t>B7014</t>
  </si>
  <si>
    <t>金版学案 高中同步辅导与检测 语文 选择性必修下册人教版</t>
  </si>
  <si>
    <t>B7032</t>
  </si>
  <si>
    <t>百年学典 全优课堂 英语 必修第三册人教版</t>
  </si>
  <si>
    <t>新世纪</t>
  </si>
  <si>
    <t>B7036</t>
  </si>
  <si>
    <t>百年学典 全优课堂 英语 选择性必修第四册人教版</t>
  </si>
  <si>
    <t>B7067</t>
  </si>
  <si>
    <t>百年学典 全优课堂 思想政治 必修3政治与法治人教版</t>
  </si>
  <si>
    <t>B7070</t>
  </si>
  <si>
    <t>百年学典 全优课堂 思想政治 选择性必修2法律与生活人教版</t>
  </si>
  <si>
    <t>B7071</t>
  </si>
  <si>
    <t>百年学典 全优课堂 思想政治 选择性必修3逻辑与思维人教版</t>
  </si>
  <si>
    <t>B7097</t>
  </si>
  <si>
    <t>金版学案 高中同步辅导与检测 历史 必修中外历史纲要（下）人教版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</si>
</sst>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11"/>
  <sheetViews>
    <sheetView tabSelected="1" topLeftCell="R1" workbookViewId="0">
      <pane ySplit="2" topLeftCell="A3" activePane="bottomLeft" state="frozen"/>
      <selection/>
      <selection pane="bottomLeft" activeCell="AA3" sqref="AA3:AA11"/>
    </sheetView>
  </sheetViews>
  <sheetFormatPr defaultColWidth="9" defaultRowHeight="13.5"/>
  <cols>
    <col min="1" max="29" width="20" customWidth="1"/>
  </cols>
  <sheetData>
    <row r="1" ht="25" customHeight="1" spans="1:29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</row>
    <row r="2" ht="25" customHeight="1" spans="1:2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</row>
    <row r="3" ht="25" customHeight="1" spans="1:29">
      <c r="A3" s="3" t="s">
        <v>31</v>
      </c>
      <c r="B3" s="3" t="s">
        <v>32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4">
        <v>24.04</v>
      </c>
      <c r="L3" s="3" t="s">
        <v>40</v>
      </c>
      <c r="M3" s="3" t="s">
        <v>41</v>
      </c>
      <c r="N3" s="3" t="s">
        <v>42</v>
      </c>
      <c r="O3" s="5">
        <v>1319</v>
      </c>
      <c r="P3" s="4">
        <v>31708.76</v>
      </c>
      <c r="Q3" s="4">
        <v>31708.76</v>
      </c>
      <c r="R3" s="4">
        <v>24415.75</v>
      </c>
      <c r="S3" s="5">
        <v>0</v>
      </c>
      <c r="T3" s="4">
        <v>0</v>
      </c>
      <c r="U3" s="4">
        <v>0</v>
      </c>
      <c r="V3" s="5">
        <v>1319</v>
      </c>
      <c r="W3" s="4">
        <v>31708.76</v>
      </c>
      <c r="X3" s="4">
        <v>31708.76</v>
      </c>
      <c r="Y3" s="4">
        <v>0</v>
      </c>
      <c r="Z3" s="5">
        <v>1319</v>
      </c>
      <c r="AA3" s="4">
        <v>31708.76</v>
      </c>
      <c r="AB3" s="4">
        <v>31708.76</v>
      </c>
      <c r="AC3" s="4">
        <v>24415.75</v>
      </c>
    </row>
    <row r="4" ht="25" customHeight="1" spans="1:29">
      <c r="A4" s="3" t="s">
        <v>31</v>
      </c>
      <c r="B4" s="3" t="s">
        <v>32</v>
      </c>
      <c r="C4" s="3" t="s">
        <v>32</v>
      </c>
      <c r="D4" s="3" t="s">
        <v>33</v>
      </c>
      <c r="E4" s="3" t="s">
        <v>34</v>
      </c>
      <c r="F4" s="3" t="s">
        <v>43</v>
      </c>
      <c r="G4" s="3" t="s">
        <v>44</v>
      </c>
      <c r="H4" s="3" t="s">
        <v>45</v>
      </c>
      <c r="I4" s="3" t="s">
        <v>38</v>
      </c>
      <c r="J4" s="3" t="s">
        <v>39</v>
      </c>
      <c r="K4" s="4">
        <v>24.04</v>
      </c>
      <c r="L4" s="3" t="s">
        <v>40</v>
      </c>
      <c r="M4" s="3" t="s">
        <v>41</v>
      </c>
      <c r="N4" s="3" t="s">
        <v>42</v>
      </c>
      <c r="O4" s="5">
        <v>1300</v>
      </c>
      <c r="P4" s="4">
        <v>31252</v>
      </c>
      <c r="Q4" s="4">
        <v>31252</v>
      </c>
      <c r="R4" s="4">
        <v>24064.04</v>
      </c>
      <c r="S4" s="5">
        <v>174</v>
      </c>
      <c r="T4" s="4">
        <v>4182.96</v>
      </c>
      <c r="U4" s="4">
        <v>4182.96</v>
      </c>
      <c r="V4" s="5">
        <v>1300</v>
      </c>
      <c r="W4" s="4">
        <v>31252</v>
      </c>
      <c r="X4" s="4">
        <v>31252</v>
      </c>
      <c r="Y4" s="4">
        <v>3220.88</v>
      </c>
      <c r="Z4" s="5">
        <v>1126</v>
      </c>
      <c r="AA4" s="4">
        <v>27069.04</v>
      </c>
      <c r="AB4" s="4">
        <v>27069.04</v>
      </c>
      <c r="AC4" s="4">
        <v>20843.16</v>
      </c>
    </row>
    <row r="5" ht="25" customHeight="1" spans="1:29">
      <c r="A5" s="3" t="s">
        <v>31</v>
      </c>
      <c r="B5" s="3" t="s">
        <v>32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46</v>
      </c>
      <c r="H5" s="3" t="s">
        <v>47</v>
      </c>
      <c r="I5" s="3" t="s">
        <v>48</v>
      </c>
      <c r="J5" s="3" t="s">
        <v>39</v>
      </c>
      <c r="K5" s="4">
        <v>24.04</v>
      </c>
      <c r="L5" s="3" t="s">
        <v>40</v>
      </c>
      <c r="M5" s="3" t="s">
        <v>41</v>
      </c>
      <c r="N5" s="3" t="s">
        <v>42</v>
      </c>
      <c r="O5" s="5">
        <v>1325</v>
      </c>
      <c r="P5" s="4">
        <v>31853</v>
      </c>
      <c r="Q5" s="4">
        <v>31853</v>
      </c>
      <c r="R5" s="4">
        <v>24526.81</v>
      </c>
      <c r="S5" s="5">
        <v>0</v>
      </c>
      <c r="T5" s="4">
        <v>0</v>
      </c>
      <c r="U5" s="4">
        <v>0</v>
      </c>
      <c r="V5" s="5">
        <v>1325</v>
      </c>
      <c r="W5" s="4">
        <v>31853</v>
      </c>
      <c r="X5" s="4">
        <v>31853</v>
      </c>
      <c r="Y5" s="4">
        <v>0</v>
      </c>
      <c r="Z5" s="5">
        <v>1325</v>
      </c>
      <c r="AA5" s="4">
        <v>31853</v>
      </c>
      <c r="AB5" s="4">
        <v>31853</v>
      </c>
      <c r="AC5" s="4">
        <v>24526.81</v>
      </c>
    </row>
    <row r="6" ht="25" customHeight="1" spans="1:29">
      <c r="A6" s="3" t="s">
        <v>31</v>
      </c>
      <c r="B6" s="3" t="s">
        <v>32</v>
      </c>
      <c r="C6" s="3" t="s">
        <v>32</v>
      </c>
      <c r="D6" s="3" t="s">
        <v>33</v>
      </c>
      <c r="E6" s="3" t="s">
        <v>34</v>
      </c>
      <c r="F6" s="3" t="s">
        <v>43</v>
      </c>
      <c r="G6" s="3" t="s">
        <v>49</v>
      </c>
      <c r="H6" s="3" t="s">
        <v>50</v>
      </c>
      <c r="I6" s="3" t="s">
        <v>48</v>
      </c>
      <c r="J6" s="3" t="s">
        <v>39</v>
      </c>
      <c r="K6" s="4">
        <v>24.04</v>
      </c>
      <c r="L6" s="3" t="s">
        <v>40</v>
      </c>
      <c r="M6" s="3" t="s">
        <v>41</v>
      </c>
      <c r="N6" s="3" t="s">
        <v>42</v>
      </c>
      <c r="O6" s="5">
        <v>1300</v>
      </c>
      <c r="P6" s="4">
        <v>31252</v>
      </c>
      <c r="Q6" s="4">
        <v>31252</v>
      </c>
      <c r="R6" s="4">
        <v>24064.04</v>
      </c>
      <c r="S6" s="5">
        <v>139</v>
      </c>
      <c r="T6" s="4">
        <v>3341.56</v>
      </c>
      <c r="U6" s="4">
        <v>3341.56</v>
      </c>
      <c r="V6" s="5">
        <v>1300</v>
      </c>
      <c r="W6" s="4">
        <v>31252</v>
      </c>
      <c r="X6" s="4">
        <v>31252</v>
      </c>
      <c r="Y6" s="4">
        <v>2573</v>
      </c>
      <c r="Z6" s="5">
        <v>1161</v>
      </c>
      <c r="AA6" s="4">
        <v>27910.44</v>
      </c>
      <c r="AB6" s="4">
        <v>27910.44</v>
      </c>
      <c r="AC6" s="4">
        <v>21491.04</v>
      </c>
    </row>
    <row r="7" ht="25" customHeight="1" spans="1:29">
      <c r="A7" s="3" t="s">
        <v>31</v>
      </c>
      <c r="B7" s="3" t="s">
        <v>32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51</v>
      </c>
      <c r="H7" s="3" t="s">
        <v>52</v>
      </c>
      <c r="I7" s="3" t="s">
        <v>48</v>
      </c>
      <c r="J7" s="3" t="s">
        <v>39</v>
      </c>
      <c r="K7" s="4">
        <v>19.75</v>
      </c>
      <c r="L7" s="3" t="s">
        <v>40</v>
      </c>
      <c r="M7" s="3" t="s">
        <v>41</v>
      </c>
      <c r="N7" s="3" t="s">
        <v>42</v>
      </c>
      <c r="O7" s="5">
        <v>400</v>
      </c>
      <c r="P7" s="4">
        <v>7900</v>
      </c>
      <c r="Q7" s="4">
        <v>7900</v>
      </c>
      <c r="R7" s="4">
        <v>6083</v>
      </c>
      <c r="S7" s="5">
        <v>42</v>
      </c>
      <c r="T7" s="4">
        <v>829.5</v>
      </c>
      <c r="U7" s="4">
        <v>829.5</v>
      </c>
      <c r="V7" s="5">
        <v>400</v>
      </c>
      <c r="W7" s="4">
        <v>7900</v>
      </c>
      <c r="X7" s="4">
        <v>7900</v>
      </c>
      <c r="Y7" s="4">
        <v>638.72</v>
      </c>
      <c r="Z7" s="5">
        <v>358</v>
      </c>
      <c r="AA7" s="4">
        <v>7070.5</v>
      </c>
      <c r="AB7" s="4">
        <v>7070.5</v>
      </c>
      <c r="AC7" s="4">
        <v>5444.28</v>
      </c>
    </row>
    <row r="8" ht="25" customHeight="1" spans="1:29">
      <c r="A8" s="3" t="s">
        <v>31</v>
      </c>
      <c r="B8" s="3" t="s">
        <v>32</v>
      </c>
      <c r="C8" s="3" t="s">
        <v>32</v>
      </c>
      <c r="D8" s="3" t="s">
        <v>33</v>
      </c>
      <c r="E8" s="3" t="s">
        <v>34</v>
      </c>
      <c r="F8" s="3" t="s">
        <v>43</v>
      </c>
      <c r="G8" s="3" t="s">
        <v>53</v>
      </c>
      <c r="H8" s="3" t="s">
        <v>54</v>
      </c>
      <c r="I8" s="3" t="s">
        <v>48</v>
      </c>
      <c r="J8" s="3" t="s">
        <v>39</v>
      </c>
      <c r="K8" s="4">
        <v>18.41</v>
      </c>
      <c r="L8" s="3" t="s">
        <v>40</v>
      </c>
      <c r="M8" s="3" t="s">
        <v>41</v>
      </c>
      <c r="N8" s="3" t="s">
        <v>42</v>
      </c>
      <c r="O8" s="5">
        <v>260</v>
      </c>
      <c r="P8" s="4">
        <v>4786.6</v>
      </c>
      <c r="Q8" s="4">
        <v>4786.6</v>
      </c>
      <c r="R8" s="4">
        <v>3685.68</v>
      </c>
      <c r="S8" s="5">
        <v>34</v>
      </c>
      <c r="T8" s="4">
        <v>625.94</v>
      </c>
      <c r="U8" s="4">
        <v>625.94</v>
      </c>
      <c r="V8" s="5">
        <v>260</v>
      </c>
      <c r="W8" s="4">
        <v>4786.6</v>
      </c>
      <c r="X8" s="4">
        <v>4786.6</v>
      </c>
      <c r="Y8" s="4">
        <v>481.97</v>
      </c>
      <c r="Z8" s="5">
        <v>226</v>
      </c>
      <c r="AA8" s="4">
        <v>4160.66</v>
      </c>
      <c r="AB8" s="4">
        <v>4160.66</v>
      </c>
      <c r="AC8" s="4">
        <v>3203.71</v>
      </c>
    </row>
    <row r="9" ht="25" customHeight="1" spans="1:29">
      <c r="A9" s="3" t="s">
        <v>31</v>
      </c>
      <c r="B9" s="3" t="s">
        <v>32</v>
      </c>
      <c r="C9" s="3" t="s">
        <v>32</v>
      </c>
      <c r="D9" s="3" t="s">
        <v>33</v>
      </c>
      <c r="E9" s="3" t="s">
        <v>34</v>
      </c>
      <c r="F9" s="3" t="s">
        <v>43</v>
      </c>
      <c r="G9" s="3" t="s">
        <v>55</v>
      </c>
      <c r="H9" s="3" t="s">
        <v>56</v>
      </c>
      <c r="I9" s="3" t="s">
        <v>48</v>
      </c>
      <c r="J9" s="3" t="s">
        <v>39</v>
      </c>
      <c r="K9" s="4">
        <v>19.75</v>
      </c>
      <c r="L9" s="3" t="s">
        <v>40</v>
      </c>
      <c r="M9" s="3" t="s">
        <v>41</v>
      </c>
      <c r="N9" s="3" t="s">
        <v>42</v>
      </c>
      <c r="O9" s="5">
        <v>260</v>
      </c>
      <c r="P9" s="4">
        <v>5135</v>
      </c>
      <c r="Q9" s="4">
        <v>5135</v>
      </c>
      <c r="R9" s="4">
        <v>3953.95</v>
      </c>
      <c r="S9" s="5">
        <v>68</v>
      </c>
      <c r="T9" s="4">
        <v>1343</v>
      </c>
      <c r="U9" s="4">
        <v>1343</v>
      </c>
      <c r="V9" s="5">
        <v>260</v>
      </c>
      <c r="W9" s="4">
        <v>5135</v>
      </c>
      <c r="X9" s="4">
        <v>5135</v>
      </c>
      <c r="Y9" s="4">
        <v>1034.11</v>
      </c>
      <c r="Z9" s="5">
        <v>192</v>
      </c>
      <c r="AA9" s="4">
        <v>3792</v>
      </c>
      <c r="AB9" s="4">
        <v>3792</v>
      </c>
      <c r="AC9" s="4">
        <v>2919.84</v>
      </c>
    </row>
    <row r="10" ht="25" customHeight="1" spans="1:29">
      <c r="A10" s="3" t="s">
        <v>31</v>
      </c>
      <c r="B10" s="3" t="s">
        <v>32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57</v>
      </c>
      <c r="H10" s="3" t="s">
        <v>58</v>
      </c>
      <c r="I10" s="3" t="s">
        <v>38</v>
      </c>
      <c r="J10" s="3" t="s">
        <v>39</v>
      </c>
      <c r="K10" s="4">
        <v>19.75</v>
      </c>
      <c r="L10" s="3" t="s">
        <v>40</v>
      </c>
      <c r="M10" s="3" t="s">
        <v>41</v>
      </c>
      <c r="N10" s="3" t="s">
        <v>42</v>
      </c>
      <c r="O10" s="5">
        <v>350</v>
      </c>
      <c r="P10" s="4">
        <v>6912.5</v>
      </c>
      <c r="Q10" s="4">
        <v>6912.5</v>
      </c>
      <c r="R10" s="4">
        <v>5322.63</v>
      </c>
      <c r="S10" s="5">
        <v>65</v>
      </c>
      <c r="T10" s="4">
        <v>1283.75</v>
      </c>
      <c r="U10" s="4">
        <v>1283.75</v>
      </c>
      <c r="V10" s="5">
        <v>350</v>
      </c>
      <c r="W10" s="4">
        <v>6912.5</v>
      </c>
      <c r="X10" s="4">
        <v>6912.5</v>
      </c>
      <c r="Y10" s="4">
        <v>988.49</v>
      </c>
      <c r="Z10" s="5">
        <v>285</v>
      </c>
      <c r="AA10" s="4">
        <v>5628.75</v>
      </c>
      <c r="AB10" s="4">
        <v>5628.75</v>
      </c>
      <c r="AC10" s="4">
        <v>4334.14</v>
      </c>
    </row>
    <row r="11" spans="1:29">
      <c r="AA11">
        <f>SUM(AA3:AA10)</f>
        <v>139193.15</v>
      </c>
    </row>
  </sheetData>
  <mergeCells count="1">
    <mergeCell ref="A1:A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子分公司发货退货对账单导出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HUAWEI</cp:lastModifiedBy>
  <dcterms:created xsi:type="dcterms:W3CDTF">2026-04-13T09:12:00Z</dcterms:created>
  <dcterms:modified xsi:type="dcterms:W3CDTF">2026-04-13T09:54:06Z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4BD02E62F98441418A4660A41B6F5180_12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